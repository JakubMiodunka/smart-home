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64637A0E-F1FB-44A6-B193-A17B4FB68C95}" xr6:coauthVersionLast="47" xr6:coauthVersionMax="47" xr10:uidLastSave="{00000000-0000-0000-0000-000000000000}"/>
  <bookViews>
    <workbookView xWindow="-120" yWindow="240" windowWidth="29040" windowHeight="15360" xr2:uid="{00000000-000D-0000-FFFF-FFFF00000000}"/>
  </bookViews>
  <sheets>
    <sheet name="BOM_weather-station-v1_main-sch" sheetId="1" r:id="rId1"/>
  </sheets>
  <calcPr calcId="181029"/>
</workbook>
</file>

<file path=xl/calcChain.xml><?xml version="1.0" encoding="utf-8"?>
<calcChain xmlns="http://schemas.openxmlformats.org/spreadsheetml/2006/main">
  <c r="I12" i="1" l="1"/>
  <c r="I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I27" i="1" l="1"/>
</calcChain>
</file>

<file path=xl/sharedStrings.xml><?xml version="1.0" encoding="utf-8"?>
<sst xmlns="http://schemas.openxmlformats.org/spreadsheetml/2006/main" count="106" uniqueCount="60">
  <si>
    <t>Quantity</t>
  </si>
  <si>
    <t>Value</t>
  </si>
  <si>
    <t>Name</t>
  </si>
  <si>
    <t>Description</t>
  </si>
  <si>
    <t>C1,C3,C4</t>
  </si>
  <si>
    <t/>
  </si>
  <si>
    <t>100n</t>
  </si>
  <si>
    <t>C2</t>
  </si>
  <si>
    <t>10u</t>
  </si>
  <si>
    <t>C5,C6</t>
  </si>
  <si>
    <t>220u</t>
  </si>
  <si>
    <t>F1</t>
  </si>
  <si>
    <t>750mA</t>
  </si>
  <si>
    <t>F2</t>
  </si>
  <si>
    <t>100mA</t>
  </si>
  <si>
    <t>R1</t>
  </si>
  <si>
    <t>330k</t>
  </si>
  <si>
    <t>100k</t>
  </si>
  <si>
    <t>R4,R5</t>
  </si>
  <si>
    <t>10k</t>
  </si>
  <si>
    <t>R6,R7,R8</t>
  </si>
  <si>
    <t>470</t>
  </si>
  <si>
    <t>SW1</t>
  </si>
  <si>
    <t>KEY1,KEY2</t>
  </si>
  <si>
    <t>U1</t>
  </si>
  <si>
    <t>U2</t>
  </si>
  <si>
    <t>U3</t>
  </si>
  <si>
    <t>U4</t>
  </si>
  <si>
    <t>U5</t>
  </si>
  <si>
    <t>BME280</t>
  </si>
  <si>
    <t>buck-boost DC-DC</t>
  </si>
  <si>
    <t>TP4056 CHARGING MODDULE</t>
  </si>
  <si>
    <t>RESET,FLASH</t>
  </si>
  <si>
    <t>ESP8266</t>
  </si>
  <si>
    <t>18650 BATTERY HOLDER</t>
  </si>
  <si>
    <t>6x6 mm tact switch</t>
  </si>
  <si>
    <t>ESP8266 THT adapter board</t>
  </si>
  <si>
    <t>female goldpins</t>
  </si>
  <si>
    <t>Designators</t>
  </si>
  <si>
    <t>Universal PCB prototype board</t>
  </si>
  <si>
    <t>R2,R3,R9,R10</t>
  </si>
  <si>
    <t>TME</t>
  </si>
  <si>
    <t>Botland</t>
  </si>
  <si>
    <t>Store</t>
  </si>
  <si>
    <t>Price per Unit</t>
  </si>
  <si>
    <t>Price</t>
  </si>
  <si>
    <t>LED2</t>
  </si>
  <si>
    <t>LED3</t>
  </si>
  <si>
    <t>LED1</t>
  </si>
  <si>
    <t>BLD_IN</t>
  </si>
  <si>
    <t>REG</t>
  </si>
  <si>
    <t>CONN</t>
  </si>
  <si>
    <t>5mm red LED</t>
  </si>
  <si>
    <t>5mm green LED</t>
  </si>
  <si>
    <t>blue LED build into ESP8266</t>
  </si>
  <si>
    <t>18650 BATTERY</t>
  </si>
  <si>
    <t>`</t>
  </si>
  <si>
    <t>Index</t>
  </si>
  <si>
    <t>Q2,Q3</t>
  </si>
  <si>
    <t>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</si>
</sst>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pl/details/ltl2r3kg/diody-led-tht-okragle/liteon/" TargetMode="External"/><Relationship Id="rId13" Type="http://schemas.openxmlformats.org/officeDocument/2006/relationships/hyperlink" Target="https://botland.com.pl/czujniki-cisnienia/11803-bme280-czujnik-wilgotnosci-temperatury-oraz-cisnienia-110kpa-i2cspi-33v-5904422366179.html" TargetMode="External"/><Relationship Id="rId18" Type="http://schemas.openxmlformats.org/officeDocument/2006/relationships/hyperlink" Target="https://www.tme.eu/pl/details/g700p06t-gfs/tranzystory-z-kanalem-p-tht/goford-semiconductor/g700p06t/" TargetMode="External"/><Relationship Id="rId3" Type="http://schemas.openxmlformats.org/officeDocument/2006/relationships/hyperlink" Target="https://www.tme.eu/pl/details/eca1cm100i/kondensatory-elektrolityczne-tht/panasonic/" TargetMode="External"/><Relationship Id="rId7" Type="http://schemas.openxmlformats.org/officeDocument/2006/relationships/hyperlink" Target="https://www.tme.eu/pl/details/fyl-5013srd1c/diody-led-tht-okragle/foryard/" TargetMode="External"/><Relationship Id="rId12" Type="http://schemas.openxmlformats.org/officeDocument/2006/relationships/hyperlink" Target="https://botland.com.pl/ladowarki-do-akumulatorow-li-ion/16979-ladowarka-li-ion-hw-373-v121-tp4056-pojedyncza-cela-1s-37v-usb-typ-c-z-zabezpieczeniami-5904422326708.html" TargetMode="External"/><Relationship Id="rId17" Type="http://schemas.openxmlformats.org/officeDocument/2006/relationships/hyperlink" Target="https://www.tme.eu/pl/details/lp0701n3-g/tranzystory-z-kanalem-p-tht/microchip-technology/" TargetMode="External"/><Relationship Id="rId2" Type="http://schemas.openxmlformats.org/officeDocument/2006/relationships/hyperlink" Target="https://www.tme.eu/pl/details/eca1cm221/kondensatory-elektrolityczne-tht/panasonic/" TargetMode="External"/><Relationship Id="rId16" Type="http://schemas.openxmlformats.org/officeDocument/2006/relationships/hyperlink" Target="https://botland.com.pl/przetwornice-step-up-step-down/10676-s9v11f3s5c3-przetwornica-step-upstep-down-33v-15a-z-funkcja-odciecia-przy-niskim-napieciu-pololu-2873-5904422305789.html" TargetMode="External"/><Relationship Id="rId1" Type="http://schemas.openxmlformats.org/officeDocument/2006/relationships/hyperlink" Target="https://www.tme.eu/pl/details/k104k10x7rf5ul2/kondensatory-ceramiczne/vishay/" TargetMode="External"/><Relationship Id="rId6" Type="http://schemas.openxmlformats.org/officeDocument/2006/relationships/hyperlink" Target="https://www.tme.eu/pl/details/ts026660bk160lcrd/mikroprzelaczniki-tact/same-sky-r/ts02-66-60-bk-160-lcr-d/" TargetMode="External"/><Relationship Id="rId11" Type="http://schemas.openxmlformats.org/officeDocument/2006/relationships/hyperlink" Target="https://botland.com.pl/przejsciowki-smd-dip/4351-adapter-dla-modulu-wifi-esp-12e-esp8266-5904422332747.html" TargetMode="External"/><Relationship Id="rId5" Type="http://schemas.openxmlformats.org/officeDocument/2006/relationships/hyperlink" Target="https://www.tme.eu/pl/details/mf-r010/bezpieczniki-polimerowe-tht/bourns/" TargetMode="External"/><Relationship Id="rId15" Type="http://schemas.openxmlformats.org/officeDocument/2006/relationships/hyperlink" Target="https://botland.com.pl/akumulatory-li-ion/15216-ogniwo-18650-li-ion-samsung-inr18650-35e-3400mah-5904422343071.html" TargetMode="External"/><Relationship Id="rId10" Type="http://schemas.openxmlformats.org/officeDocument/2006/relationships/hyperlink" Target="https://botland.com.pl/moduly-wifi-esp8266/5463-modul-wifi-esp-12e-esp8266-black-11-gpio-adc-pcb-antena-5904422300616.html" TargetMode="External"/><Relationship Id="rId4" Type="http://schemas.openxmlformats.org/officeDocument/2006/relationships/hyperlink" Target="https://www.tme.eu/pl/details/mf-r075/bezpieczniki-polimerowe-tht/bourns/" TargetMode="External"/><Relationship Id="rId9" Type="http://schemas.openxmlformats.org/officeDocument/2006/relationships/hyperlink" Target="https://botland.com.pl/plytki-uniwersalne/15088-plytka-prototypowa-uniwersalna-protoboard-572-pola-jednostronna-dfrobot-fit0099-5904422377786.html" TargetMode="External"/><Relationship Id="rId14" Type="http://schemas.openxmlformats.org/officeDocument/2006/relationships/hyperlink" Target="https://botland.com.pl/koszyki-na-baterie/16516-koszyk-na-1-akumulator-typu-18650-bez-przewodow-590442234459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O11" sqref="O11"/>
    </sheetView>
  </sheetViews>
  <sheetFormatPr defaultRowHeight="15" x14ac:dyDescent="0.25"/>
  <cols>
    <col min="2" max="4" width="20" customWidth="1"/>
    <col min="5" max="5" width="29.7109375" customWidth="1"/>
    <col min="6" max="6" width="20" customWidth="1"/>
    <col min="8" max="8" width="13.7109375" customWidth="1"/>
    <col min="9" max="9" width="11" customWidth="1"/>
  </cols>
  <sheetData>
    <row r="1" spans="1:12" x14ac:dyDescent="0.25">
      <c r="A1" t="s">
        <v>57</v>
      </c>
      <c r="B1" t="s">
        <v>38</v>
      </c>
      <c r="C1" t="s">
        <v>2</v>
      </c>
      <c r="D1" t="s">
        <v>1</v>
      </c>
      <c r="E1" t="s">
        <v>3</v>
      </c>
      <c r="F1" t="s">
        <v>0</v>
      </c>
      <c r="G1" t="s">
        <v>43</v>
      </c>
      <c r="H1" t="s">
        <v>44</v>
      </c>
      <c r="I1" t="s">
        <v>45</v>
      </c>
    </row>
    <row r="2" spans="1:12" x14ac:dyDescent="0.25">
      <c r="A2">
        <v>1</v>
      </c>
      <c r="B2" t="s">
        <v>4</v>
      </c>
      <c r="C2" t="s">
        <v>5</v>
      </c>
      <c r="D2" t="s">
        <v>6</v>
      </c>
      <c r="E2" t="s">
        <v>5</v>
      </c>
      <c r="F2">
        <v>3</v>
      </c>
      <c r="G2" s="1" t="s">
        <v>41</v>
      </c>
      <c r="H2">
        <v>0.87</v>
      </c>
      <c r="I2">
        <f>H2*F2</f>
        <v>2.61</v>
      </c>
    </row>
    <row r="3" spans="1:12" x14ac:dyDescent="0.25">
      <c r="A3">
        <v>2</v>
      </c>
      <c r="B3" t="s">
        <v>7</v>
      </c>
      <c r="C3" t="s">
        <v>5</v>
      </c>
      <c r="D3" t="s">
        <v>8</v>
      </c>
      <c r="E3" t="s">
        <v>5</v>
      </c>
      <c r="F3">
        <v>1</v>
      </c>
      <c r="G3" s="1" t="s">
        <v>41</v>
      </c>
      <c r="H3">
        <v>0.87</v>
      </c>
      <c r="I3">
        <f t="shared" ref="I3:I26" si="0">H3*F3</f>
        <v>0.87</v>
      </c>
    </row>
    <row r="4" spans="1:12" x14ac:dyDescent="0.25">
      <c r="A4">
        <v>3</v>
      </c>
      <c r="B4" t="s">
        <v>9</v>
      </c>
      <c r="C4" t="s">
        <v>5</v>
      </c>
      <c r="D4" t="s">
        <v>10</v>
      </c>
      <c r="E4" t="s">
        <v>5</v>
      </c>
      <c r="F4">
        <v>2</v>
      </c>
      <c r="G4" s="1" t="s">
        <v>41</v>
      </c>
      <c r="H4">
        <v>1.1200000000000001</v>
      </c>
      <c r="I4">
        <f t="shared" si="0"/>
        <v>2.2400000000000002</v>
      </c>
    </row>
    <row r="5" spans="1:12" x14ac:dyDescent="0.25">
      <c r="A5">
        <v>4</v>
      </c>
      <c r="B5" t="s">
        <v>11</v>
      </c>
      <c r="C5" t="s">
        <v>5</v>
      </c>
      <c r="D5" t="s">
        <v>12</v>
      </c>
      <c r="E5" t="s">
        <v>5</v>
      </c>
      <c r="F5">
        <v>1</v>
      </c>
      <c r="G5" s="1" t="s">
        <v>41</v>
      </c>
      <c r="H5">
        <v>1.1499999999999999</v>
      </c>
      <c r="I5">
        <f t="shared" si="0"/>
        <v>1.1499999999999999</v>
      </c>
    </row>
    <row r="6" spans="1:12" x14ac:dyDescent="0.25">
      <c r="A6">
        <v>5</v>
      </c>
      <c r="B6" t="s">
        <v>13</v>
      </c>
      <c r="C6" t="s">
        <v>5</v>
      </c>
      <c r="D6" t="s">
        <v>14</v>
      </c>
      <c r="E6" t="s">
        <v>5</v>
      </c>
      <c r="F6">
        <v>1</v>
      </c>
      <c r="G6" s="1" t="s">
        <v>41</v>
      </c>
      <c r="H6">
        <v>1.18</v>
      </c>
      <c r="I6">
        <f t="shared" si="0"/>
        <v>1.18</v>
      </c>
    </row>
    <row r="7" spans="1:12" x14ac:dyDescent="0.25">
      <c r="A7">
        <v>6</v>
      </c>
      <c r="B7" t="s">
        <v>23</v>
      </c>
      <c r="C7" t="s">
        <v>32</v>
      </c>
      <c r="D7" t="s">
        <v>5</v>
      </c>
      <c r="E7" t="s">
        <v>35</v>
      </c>
      <c r="F7">
        <v>2</v>
      </c>
      <c r="G7" s="1" t="s">
        <v>41</v>
      </c>
      <c r="H7">
        <v>0.38</v>
      </c>
      <c r="I7">
        <f t="shared" si="0"/>
        <v>0.76</v>
      </c>
    </row>
    <row r="8" spans="1:12" x14ac:dyDescent="0.25">
      <c r="A8">
        <v>7</v>
      </c>
      <c r="B8" t="s">
        <v>48</v>
      </c>
      <c r="C8" t="s">
        <v>51</v>
      </c>
      <c r="E8" t="s">
        <v>52</v>
      </c>
      <c r="F8">
        <v>1</v>
      </c>
      <c r="G8" s="1" t="s">
        <v>41</v>
      </c>
      <c r="H8">
        <v>1.38</v>
      </c>
      <c r="I8">
        <f t="shared" si="0"/>
        <v>1.38</v>
      </c>
    </row>
    <row r="9" spans="1:12" x14ac:dyDescent="0.25">
      <c r="A9">
        <v>8</v>
      </c>
      <c r="B9" t="s">
        <v>46</v>
      </c>
      <c r="C9" t="s">
        <v>50</v>
      </c>
      <c r="E9" t="s">
        <v>53</v>
      </c>
      <c r="F9">
        <v>1</v>
      </c>
      <c r="G9" s="1" t="s">
        <v>41</v>
      </c>
      <c r="H9">
        <v>1.08</v>
      </c>
      <c r="I9">
        <f t="shared" si="0"/>
        <v>1.08</v>
      </c>
    </row>
    <row r="10" spans="1:12" x14ac:dyDescent="0.25">
      <c r="A10">
        <v>9</v>
      </c>
      <c r="B10" t="s">
        <v>47</v>
      </c>
      <c r="C10" t="s">
        <v>49</v>
      </c>
      <c r="E10" t="s">
        <v>54</v>
      </c>
      <c r="I10">
        <f t="shared" si="0"/>
        <v>0</v>
      </c>
      <c r="L10" t="s">
        <v>56</v>
      </c>
    </row>
    <row r="11" spans="1:12" x14ac:dyDescent="0.25">
      <c r="A11">
        <v>10</v>
      </c>
      <c r="B11" t="s">
        <v>59</v>
      </c>
      <c r="F11">
        <v>1</v>
      </c>
      <c r="G11" s="1" t="s">
        <v>41</v>
      </c>
      <c r="H11">
        <v>3.34</v>
      </c>
      <c r="I11">
        <f t="shared" si="0"/>
        <v>3.34</v>
      </c>
    </row>
    <row r="12" spans="1:12" x14ac:dyDescent="0.25">
      <c r="A12">
        <v>11</v>
      </c>
      <c r="B12" t="s">
        <v>58</v>
      </c>
      <c r="F12">
        <v>2</v>
      </c>
      <c r="G12" s="1" t="s">
        <v>41</v>
      </c>
      <c r="H12">
        <v>6.88</v>
      </c>
      <c r="I12">
        <f t="shared" si="0"/>
        <v>13.76</v>
      </c>
    </row>
    <row r="13" spans="1:12" x14ac:dyDescent="0.25">
      <c r="A13">
        <v>12</v>
      </c>
      <c r="B13" t="s">
        <v>22</v>
      </c>
      <c r="F13">
        <v>1</v>
      </c>
      <c r="H13">
        <v>2</v>
      </c>
      <c r="I13">
        <f t="shared" si="0"/>
        <v>2</v>
      </c>
    </row>
    <row r="14" spans="1:12" x14ac:dyDescent="0.25">
      <c r="A14">
        <v>13</v>
      </c>
      <c r="B14" t="s">
        <v>24</v>
      </c>
      <c r="E14" t="s">
        <v>31</v>
      </c>
      <c r="F14">
        <v>1</v>
      </c>
      <c r="G14" s="1" t="s">
        <v>42</v>
      </c>
      <c r="H14">
        <v>4.9000000000000004</v>
      </c>
      <c r="I14">
        <f t="shared" si="0"/>
        <v>4.9000000000000004</v>
      </c>
    </row>
    <row r="15" spans="1:12" x14ac:dyDescent="0.25">
      <c r="A15">
        <v>14</v>
      </c>
      <c r="B15" t="s">
        <v>25</v>
      </c>
      <c r="E15" t="s">
        <v>34</v>
      </c>
      <c r="F15">
        <v>1</v>
      </c>
      <c r="G15" s="1" t="s">
        <v>42</v>
      </c>
      <c r="H15">
        <v>3.9</v>
      </c>
      <c r="I15">
        <f t="shared" si="0"/>
        <v>3.9</v>
      </c>
    </row>
    <row r="16" spans="1:12" x14ac:dyDescent="0.25">
      <c r="A16">
        <v>15</v>
      </c>
      <c r="B16" t="s">
        <v>26</v>
      </c>
      <c r="E16" t="s">
        <v>30</v>
      </c>
      <c r="F16">
        <v>1</v>
      </c>
      <c r="G16" s="1" t="s">
        <v>42</v>
      </c>
      <c r="H16">
        <v>29.9</v>
      </c>
      <c r="I16">
        <f t="shared" si="0"/>
        <v>29.9</v>
      </c>
    </row>
    <row r="17" spans="1:9" x14ac:dyDescent="0.25">
      <c r="A17">
        <v>16</v>
      </c>
      <c r="B17" t="s">
        <v>27</v>
      </c>
      <c r="C17" t="s">
        <v>29</v>
      </c>
      <c r="F17">
        <v>1</v>
      </c>
      <c r="G17" s="1" t="s">
        <v>42</v>
      </c>
      <c r="H17">
        <v>34.9</v>
      </c>
      <c r="I17">
        <f t="shared" si="0"/>
        <v>34.9</v>
      </c>
    </row>
    <row r="18" spans="1:9" x14ac:dyDescent="0.25">
      <c r="A18">
        <v>17</v>
      </c>
      <c r="B18" t="s">
        <v>28</v>
      </c>
      <c r="C18" t="s">
        <v>33</v>
      </c>
      <c r="F18">
        <v>1</v>
      </c>
      <c r="G18" s="1" t="s">
        <v>42</v>
      </c>
      <c r="H18">
        <v>17.899999999999999</v>
      </c>
      <c r="I18">
        <f t="shared" si="0"/>
        <v>17.899999999999999</v>
      </c>
    </row>
    <row r="19" spans="1:9" x14ac:dyDescent="0.25">
      <c r="A19">
        <v>18</v>
      </c>
      <c r="B19" t="s">
        <v>15</v>
      </c>
      <c r="C19" t="s">
        <v>5</v>
      </c>
      <c r="D19" t="s">
        <v>16</v>
      </c>
      <c r="E19" t="s">
        <v>5</v>
      </c>
      <c r="F19">
        <v>1</v>
      </c>
      <c r="H19">
        <v>0.1</v>
      </c>
      <c r="I19">
        <f t="shared" si="0"/>
        <v>0.1</v>
      </c>
    </row>
    <row r="20" spans="1:9" x14ac:dyDescent="0.25">
      <c r="A20">
        <v>19</v>
      </c>
      <c r="B20" t="s">
        <v>40</v>
      </c>
      <c r="C20" t="s">
        <v>5</v>
      </c>
      <c r="D20" t="s">
        <v>17</v>
      </c>
      <c r="E20" t="s">
        <v>5</v>
      </c>
      <c r="F20">
        <v>4</v>
      </c>
      <c r="H20">
        <v>0.1</v>
      </c>
      <c r="I20">
        <f t="shared" si="0"/>
        <v>0.4</v>
      </c>
    </row>
    <row r="21" spans="1:9" x14ac:dyDescent="0.25">
      <c r="A21">
        <v>20</v>
      </c>
      <c r="B21" t="s">
        <v>18</v>
      </c>
      <c r="C21" t="s">
        <v>5</v>
      </c>
      <c r="D21" t="s">
        <v>19</v>
      </c>
      <c r="E21" t="s">
        <v>5</v>
      </c>
      <c r="F21">
        <v>2</v>
      </c>
      <c r="H21">
        <v>0.1</v>
      </c>
      <c r="I21">
        <f t="shared" si="0"/>
        <v>0.2</v>
      </c>
    </row>
    <row r="22" spans="1:9" x14ac:dyDescent="0.25">
      <c r="A22">
        <v>21</v>
      </c>
      <c r="B22" t="s">
        <v>20</v>
      </c>
      <c r="C22" t="s">
        <v>5</v>
      </c>
      <c r="D22" t="s">
        <v>21</v>
      </c>
      <c r="E22" t="s">
        <v>5</v>
      </c>
      <c r="F22">
        <v>3</v>
      </c>
      <c r="H22">
        <v>0.1</v>
      </c>
      <c r="I22">
        <f t="shared" si="0"/>
        <v>0.30000000000000004</v>
      </c>
    </row>
    <row r="23" spans="1:9" x14ac:dyDescent="0.25">
      <c r="A23">
        <v>22</v>
      </c>
      <c r="E23" t="s">
        <v>36</v>
      </c>
      <c r="F23">
        <v>1</v>
      </c>
      <c r="G23" s="1" t="s">
        <v>42</v>
      </c>
      <c r="H23">
        <v>2.9</v>
      </c>
      <c r="I23">
        <f t="shared" si="0"/>
        <v>2.9</v>
      </c>
    </row>
    <row r="24" spans="1:9" x14ac:dyDescent="0.25">
      <c r="A24">
        <v>23</v>
      </c>
      <c r="E24" t="s">
        <v>39</v>
      </c>
      <c r="F24">
        <v>1</v>
      </c>
      <c r="G24" s="1" t="s">
        <v>42</v>
      </c>
      <c r="H24">
        <v>5.9</v>
      </c>
      <c r="I24">
        <f t="shared" si="0"/>
        <v>5.9</v>
      </c>
    </row>
    <row r="25" spans="1:9" x14ac:dyDescent="0.25">
      <c r="A25">
        <v>24</v>
      </c>
      <c r="E25" t="s">
        <v>37</v>
      </c>
      <c r="F25">
        <v>1</v>
      </c>
      <c r="H25">
        <v>2</v>
      </c>
      <c r="I25">
        <f t="shared" si="0"/>
        <v>2</v>
      </c>
    </row>
    <row r="26" spans="1:9" x14ac:dyDescent="0.25">
      <c r="A26">
        <v>25</v>
      </c>
      <c r="E26" t="s">
        <v>55</v>
      </c>
      <c r="F26">
        <v>1</v>
      </c>
      <c r="G26" s="1" t="s">
        <v>42</v>
      </c>
      <c r="H26">
        <v>29.9</v>
      </c>
      <c r="I26">
        <f t="shared" si="0"/>
        <v>29.9</v>
      </c>
    </row>
    <row r="27" spans="1:9" x14ac:dyDescent="0.25">
      <c r="I27">
        <f>SUM(I2:I26)</f>
        <v>163.57000000000002</v>
      </c>
    </row>
  </sheetData>
  <phoneticPr fontId="1" type="noConversion"/>
  <hyperlinks>
    <hyperlink ref="G2" r:id="rId1" xr:uid="{73B3DE33-9A59-4692-9E2E-6EE2E03B61D7}"/>
    <hyperlink ref="G4" r:id="rId2" xr:uid="{08F8E6A5-C646-41B7-A9BF-AF0CFA1E03B5}"/>
    <hyperlink ref="G3" r:id="rId3" xr:uid="{CC77DB99-EDD9-4D58-93FC-5E198D6D7C89}"/>
    <hyperlink ref="G5" r:id="rId4" xr:uid="{AAEF6E25-5B4B-4C76-9267-D8B787D3CD91}"/>
    <hyperlink ref="G6" r:id="rId5" xr:uid="{68A6D9A1-5260-4CB0-B1F4-A10B6D9E5045}"/>
    <hyperlink ref="G7" r:id="rId6" xr:uid="{9861BFDD-5CEC-42BB-8FD0-2E90E21D601E}"/>
    <hyperlink ref="G8" r:id="rId7" xr:uid="{526BEBEE-D55F-4FB8-941D-BA2E55D188C2}"/>
    <hyperlink ref="G9" r:id="rId8" xr:uid="{B9642C7F-E5EC-4534-80F0-7B42FC50AFDE}"/>
    <hyperlink ref="G24" r:id="rId9" xr:uid="{3621D474-1ED7-4957-A90C-6EAA38344D65}"/>
    <hyperlink ref="G18" r:id="rId10" xr:uid="{D5AB0335-18D0-4A0E-BE84-6E91B82417E7}"/>
    <hyperlink ref="G23" r:id="rId11" xr:uid="{924692B1-C10F-4DD7-86B6-FC39008B2ACA}"/>
    <hyperlink ref="G14" r:id="rId12" xr:uid="{2EC3CCD9-0996-44F0-9336-DD16EABB1BC5}"/>
    <hyperlink ref="G17" r:id="rId13" xr:uid="{A97E0E0D-4FF4-48F7-9F97-578C2A03AB80}"/>
    <hyperlink ref="G15" r:id="rId14" xr:uid="{05ED4C53-3A72-47FA-B604-E8051A03B8C3}"/>
    <hyperlink ref="G26" r:id="rId15" xr:uid="{C544BB5E-44BA-4411-9A34-D3113DFAA6D6}"/>
    <hyperlink ref="G16" r:id="rId16" xr:uid="{C7D3988A-3FF7-4EF4-AEF9-EB52B1CB7B84}"/>
    <hyperlink ref="G12" r:id="rId17" xr:uid="{D1DCAE8E-8BA0-4269-801A-C5F5AC88ACBD}"/>
    <hyperlink ref="G11" r:id="rId18" xr:uid="{9064F519-8F9C-4ECF-961B-D7376CF3A626}"/>
  </hyperlinks>
  <printOptions gridLines="1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BOM_weather-station-v1_main-sch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2026-09-17T17:46:28Z</dcterms:created>
  <dcterms:modified xsi:type="dcterms:W3CDTF">2026-09-18T19:25:08Z</dcterms:modified>
  <cp:category/>
</cp:coreProperties>
</file>